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aes\Documents\GitHub\Class_Assignments\EEL3923_JuniorDesign\2_PowerSupply\"/>
    </mc:Choice>
  </mc:AlternateContent>
  <xr:revisionPtr revIDLastSave="0" documentId="13_ncr:1_{44CD5FE8-2D0C-494D-BD34-8B35A2ABA250}" xr6:coauthVersionLast="47" xr6:coauthVersionMax="47" xr10:uidLastSave="{00000000-0000-0000-0000-000000000000}"/>
  <bookViews>
    <workbookView xWindow="-108" yWindow="-108" windowWidth="23256" windowHeight="12456" xr2:uid="{1D44A5A0-E5EF-4EF4-A429-53C45CF21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3" i="1"/>
  <c r="J9" i="1"/>
  <c r="J8" i="1"/>
  <c r="I9" i="1"/>
  <c r="I8" i="1"/>
  <c r="J4" i="1"/>
  <c r="J3" i="1"/>
  <c r="N3" i="1" l="1"/>
  <c r="M3" i="1"/>
  <c r="N4" i="1"/>
  <c r="M4" i="1"/>
</calcChain>
</file>

<file path=xl/sharedStrings.xml><?xml version="1.0" encoding="utf-8"?>
<sst xmlns="http://schemas.openxmlformats.org/spreadsheetml/2006/main" count="104" uniqueCount="27">
  <si>
    <t>47Ω</t>
  </si>
  <si>
    <t>1000Ω</t>
  </si>
  <si>
    <t>Linear</t>
  </si>
  <si>
    <t>Switching</t>
  </si>
  <si>
    <t>V_in (V)</t>
  </si>
  <si>
    <t>V_out (V)</t>
  </si>
  <si>
    <t>•Waveform and peak/peak and rms noise and power efficiency for Linear Regulator at 5mA and 100mA load.
in pic
• Waveform and peak/peak and rms noise and power efficiency for Switching Regulator at 5mA and 100mA load.
in pic
• Do both supplies meet Voltage specs?
• Which supply is more efficient? Under which current load?
• Which supply is less noisy? Under which current load?</t>
  </si>
  <si>
    <t>I_in (mA)</t>
  </si>
  <si>
    <t>I_out (mA)</t>
  </si>
  <si>
    <t>Averaged Data</t>
  </si>
  <si>
    <t>Linear Regulator Practical</t>
  </si>
  <si>
    <t>Switching Regulator Practical</t>
  </si>
  <si>
    <t>Linear Regulator Simulated</t>
  </si>
  <si>
    <t>Switching Regulator Simulated</t>
  </si>
  <si>
    <t>Practical Power In (W)</t>
  </si>
  <si>
    <t>Practical Power Out (W)</t>
  </si>
  <si>
    <t>Practical Power Efficiency (n)</t>
  </si>
  <si>
    <t>MISCELLANEOUS VOLTAGES</t>
  </si>
  <si>
    <t>V_bridge (V)</t>
  </si>
  <si>
    <t>V_filter (V)</t>
  </si>
  <si>
    <t>V_regin (V)</t>
  </si>
  <si>
    <t>V_regout (V)</t>
  </si>
  <si>
    <t>V_xfrmr (mV)</t>
  </si>
  <si>
    <t>P_in (W)</t>
  </si>
  <si>
    <t>P_out (W)</t>
  </si>
  <si>
    <t>Efficiency</t>
  </si>
  <si>
    <t>Noise (mVpp)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</si>
</sst>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right"/>
    </xf>
    <xf numFmtId="0" fontId="0" fillId="0" borderId="7" xfId="0" applyBorder="1" applyAlignment="1">
      <alignment horizontal="right"/>
    </xf>
    <xf numFmtId="10" fontId="0" fillId="0" borderId="0" xfId="0" applyNumberForma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F295-D1E6-47B8-AA24-E22606A6FF28}">
  <dimension ref="A1:X40"/>
  <sheetViews>
    <sheetView tabSelected="1" topLeftCell="F1" workbookViewId="0">
      <selection activeCell="U24" sqref="U24"/>
    </sheetView>
  </sheetViews>
  <sheetFormatPr defaultRowHeight="14.4" x14ac:dyDescent="0.3"/>
  <cols>
    <col min="1" max="1" width="11.21875" customWidth="1"/>
    <col min="4" max="4" width="11.5546875" customWidth="1"/>
    <col min="18" max="18" width="11.21875" customWidth="1"/>
    <col min="21" max="21" width="11.5546875" customWidth="1"/>
  </cols>
  <sheetData>
    <row r="1" spans="1:23" ht="15" thickBot="1" x14ac:dyDescent="0.35">
      <c r="A1" s="15" t="s">
        <v>9</v>
      </c>
      <c r="B1" s="15"/>
      <c r="C1" s="15"/>
      <c r="D1" s="15"/>
      <c r="E1" s="15"/>
      <c r="F1" s="15"/>
      <c r="H1" s="15" t="s">
        <v>14</v>
      </c>
      <c r="I1" s="15"/>
      <c r="J1" s="15"/>
      <c r="L1" s="15" t="s">
        <v>16</v>
      </c>
      <c r="M1" s="15"/>
      <c r="N1" s="15"/>
    </row>
    <row r="2" spans="1:23" ht="15" thickBot="1" x14ac:dyDescent="0.35">
      <c r="A2" s="15" t="s">
        <v>12</v>
      </c>
      <c r="B2" s="15"/>
      <c r="C2" s="15"/>
      <c r="D2" s="15" t="s">
        <v>10</v>
      </c>
      <c r="E2" s="15"/>
      <c r="F2" s="15"/>
      <c r="I2" s="1" t="s">
        <v>0</v>
      </c>
      <c r="J2" s="1" t="s">
        <v>1</v>
      </c>
      <c r="M2" s="1" t="s">
        <v>0</v>
      </c>
      <c r="N2" s="1" t="s">
        <v>1</v>
      </c>
      <c r="R2" s="16" t="s">
        <v>12</v>
      </c>
      <c r="S2" s="17"/>
      <c r="T2" s="17"/>
      <c r="U2" s="18" t="s">
        <v>13</v>
      </c>
      <c r="V2" s="19"/>
      <c r="W2" s="20"/>
    </row>
    <row r="3" spans="1:23" x14ac:dyDescent="0.3">
      <c r="B3" s="1" t="s">
        <v>0</v>
      </c>
      <c r="C3" s="1" t="s">
        <v>1</v>
      </c>
      <c r="E3" s="1" t="s">
        <v>0</v>
      </c>
      <c r="F3" s="1" t="s">
        <v>1</v>
      </c>
      <c r="H3" s="1" t="s">
        <v>2</v>
      </c>
      <c r="I3">
        <f>PRODUCT(E4,E6*10^-3)</f>
        <v>0.93641890649999993</v>
      </c>
      <c r="J3">
        <f>PRODUCT(F4,F6*10^-3)</f>
        <v>8.7964635760000007E-2</v>
      </c>
      <c r="L3" s="1" t="s">
        <v>2</v>
      </c>
      <c r="M3" s="2">
        <f>I8/I3</f>
        <v>0.56532870270491498</v>
      </c>
      <c r="N3" s="2">
        <f>J8/J3</f>
        <v>0.3227094710816546</v>
      </c>
      <c r="R3" s="3"/>
      <c r="S3" s="4" t="s">
        <v>0</v>
      </c>
      <c r="T3" s="12" t="s">
        <v>1</v>
      </c>
      <c r="U3" s="10"/>
      <c r="V3" s="1" t="s">
        <v>0</v>
      </c>
      <c r="W3" s="6" t="s">
        <v>1</v>
      </c>
    </row>
    <row r="4" spans="1:23" x14ac:dyDescent="0.3">
      <c r="A4" t="s">
        <v>4</v>
      </c>
      <c r="B4">
        <v>7.6948999999999996</v>
      </c>
      <c r="C4">
        <v>8.7545000000000002</v>
      </c>
      <c r="D4" t="s">
        <v>4</v>
      </c>
      <c r="E4">
        <v>8.4908999999999999</v>
      </c>
      <c r="F4">
        <v>8.4967000000000006</v>
      </c>
      <c r="H4" t="s">
        <v>3</v>
      </c>
      <c r="I4">
        <f>PRODUCT(E11,E13*10^-3)</f>
        <v>0.77708001560000006</v>
      </c>
      <c r="J4">
        <f>PRODUCT(F11,F13*10^-3)</f>
        <v>7.8014629199999991E-2</v>
      </c>
      <c r="L4" t="s">
        <v>3</v>
      </c>
      <c r="M4" s="2">
        <f>I9/I4</f>
        <v>0.66720397281054455</v>
      </c>
      <c r="N4" s="2">
        <f>J9/J4</f>
        <v>0.34589252460357783</v>
      </c>
      <c r="R4" s="7" t="s">
        <v>22</v>
      </c>
      <c r="S4" s="8">
        <v>-20.186</v>
      </c>
      <c r="T4" s="13">
        <v>-20.186</v>
      </c>
      <c r="U4" s="10" t="s">
        <v>22</v>
      </c>
      <c r="V4" s="5">
        <v>-20.186</v>
      </c>
      <c r="W4" s="14">
        <v>-20.186</v>
      </c>
    </row>
    <row r="5" spans="1:23" x14ac:dyDescent="0.3">
      <c r="A5" t="s">
        <v>5</v>
      </c>
      <c r="B5">
        <v>5.0027999999999997</v>
      </c>
      <c r="C5">
        <v>5.0027999999999997</v>
      </c>
      <c r="D5" t="s">
        <v>5</v>
      </c>
      <c r="E5">
        <v>5.1448</v>
      </c>
      <c r="F5">
        <v>5.2484000000000002</v>
      </c>
      <c r="R5" s="7" t="s">
        <v>18</v>
      </c>
      <c r="S5" s="8">
        <v>4.4275000000000002</v>
      </c>
      <c r="T5" s="13">
        <v>4.4275000000000002</v>
      </c>
      <c r="U5" s="10" t="s">
        <v>18</v>
      </c>
      <c r="V5" s="5">
        <v>4.4275000000000002</v>
      </c>
      <c r="W5" s="14">
        <v>4.4275000000000002</v>
      </c>
    </row>
    <row r="6" spans="1:23" x14ac:dyDescent="0.3">
      <c r="A6" t="s">
        <v>7</v>
      </c>
      <c r="B6">
        <v>111.43</v>
      </c>
      <c r="C6">
        <v>10.02</v>
      </c>
      <c r="D6" t="s">
        <v>7</v>
      </c>
      <c r="E6">
        <v>110.285</v>
      </c>
      <c r="F6">
        <v>10.3528</v>
      </c>
      <c r="H6" s="15" t="s">
        <v>15</v>
      </c>
      <c r="I6" s="15"/>
      <c r="J6" s="15"/>
      <c r="R6" s="7" t="s">
        <v>19</v>
      </c>
      <c r="S6" s="8">
        <v>9.0518999999999998</v>
      </c>
      <c r="T6" s="13">
        <v>9.0518999999999998</v>
      </c>
      <c r="U6" s="10" t="s">
        <v>19</v>
      </c>
      <c r="V6" s="5">
        <v>9.0518999999999998</v>
      </c>
      <c r="W6" s="14">
        <v>9.0518999999999998</v>
      </c>
    </row>
    <row r="7" spans="1:23" x14ac:dyDescent="0.3">
      <c r="A7" t="s">
        <v>8</v>
      </c>
      <c r="B7">
        <v>106.44</v>
      </c>
      <c r="C7">
        <v>5.0027999999999997</v>
      </c>
      <c r="D7" t="s">
        <v>8</v>
      </c>
      <c r="E7">
        <v>102.89700000000001</v>
      </c>
      <c r="F7">
        <v>5.4086999999999996</v>
      </c>
      <c r="I7" s="1" t="s">
        <v>0</v>
      </c>
      <c r="J7" s="1" t="s">
        <v>1</v>
      </c>
      <c r="R7" s="7" t="s">
        <v>4</v>
      </c>
      <c r="S7" s="8">
        <v>7.6948999999999996</v>
      </c>
      <c r="T7" s="13">
        <v>8.7545000000000002</v>
      </c>
      <c r="U7" s="10" t="s">
        <v>4</v>
      </c>
      <c r="V7" s="5">
        <v>7.9797000000000002</v>
      </c>
      <c r="W7" s="14">
        <v>8.9060000000000006</v>
      </c>
    </row>
    <row r="8" spans="1:23" x14ac:dyDescent="0.3">
      <c r="H8" s="1" t="s">
        <v>2</v>
      </c>
      <c r="I8">
        <f>PRODUCT(E5,E7*10^-3)</f>
        <v>0.52938448560000007</v>
      </c>
      <c r="J8">
        <f>PRODUCT(F5,F7*10^-3)</f>
        <v>2.8387021080000002E-2</v>
      </c>
      <c r="M8" s="2"/>
      <c r="R8" s="7" t="s">
        <v>5</v>
      </c>
      <c r="S8" s="8">
        <v>5.0027999999999997</v>
      </c>
      <c r="T8" s="13">
        <v>5.0027999999999997</v>
      </c>
      <c r="U8" s="10" t="s">
        <v>5</v>
      </c>
      <c r="V8" s="5">
        <v>5.0186000000000002</v>
      </c>
      <c r="W8" s="14">
        <v>5.0537999999999998</v>
      </c>
    </row>
    <row r="9" spans="1:23" x14ac:dyDescent="0.3">
      <c r="A9" s="15" t="s">
        <v>13</v>
      </c>
      <c r="B9" s="15"/>
      <c r="C9" s="15"/>
      <c r="D9" s="15" t="s">
        <v>11</v>
      </c>
      <c r="E9" s="15"/>
      <c r="F9" s="15"/>
      <c r="H9" t="s">
        <v>3</v>
      </c>
      <c r="I9">
        <f>PRODUCT(E12,E14*10^-3)</f>
        <v>0.51847087359999999</v>
      </c>
      <c r="J9">
        <f>PRODUCT(F12,F14*10^-3)</f>
        <v>2.6984677049999999E-2</v>
      </c>
      <c r="M9" s="2"/>
      <c r="R9" s="7" t="s">
        <v>7</v>
      </c>
      <c r="S9" s="8">
        <v>111.43</v>
      </c>
      <c r="T9" s="13">
        <v>10.02</v>
      </c>
      <c r="U9" s="10" t="s">
        <v>7</v>
      </c>
      <c r="V9" s="5">
        <v>76.052999999999997</v>
      </c>
      <c r="W9" s="14">
        <v>3.5880999999999998</v>
      </c>
    </row>
    <row r="10" spans="1:23" ht="15" thickBot="1" x14ac:dyDescent="0.35">
      <c r="B10" s="1" t="s">
        <v>0</v>
      </c>
      <c r="C10" s="1" t="s">
        <v>1</v>
      </c>
      <c r="E10" s="1" t="s">
        <v>0</v>
      </c>
      <c r="F10" s="1" t="s">
        <v>1</v>
      </c>
      <c r="R10" s="7" t="s">
        <v>8</v>
      </c>
      <c r="S10" s="8">
        <v>106.44</v>
      </c>
      <c r="T10" s="13">
        <v>5.0027999999999997</v>
      </c>
      <c r="U10" s="10" t="s">
        <v>8</v>
      </c>
      <c r="V10" s="5">
        <v>106.78</v>
      </c>
      <c r="W10" s="14">
        <v>5.0537999999999998</v>
      </c>
    </row>
    <row r="11" spans="1:23" ht="15" thickBot="1" x14ac:dyDescent="0.35">
      <c r="A11" t="s">
        <v>4</v>
      </c>
      <c r="B11">
        <v>7.9797000000000002</v>
      </c>
      <c r="C11">
        <v>8.9060000000000006</v>
      </c>
      <c r="D11" t="s">
        <v>4</v>
      </c>
      <c r="E11">
        <v>8.6324000000000005</v>
      </c>
      <c r="F11">
        <v>7.9139999999999997</v>
      </c>
      <c r="R11" s="18" t="s">
        <v>10</v>
      </c>
      <c r="S11" s="19"/>
      <c r="T11" s="19"/>
      <c r="U11" s="18" t="s">
        <v>11</v>
      </c>
      <c r="V11" s="19"/>
      <c r="W11" s="20"/>
    </row>
    <row r="12" spans="1:23" x14ac:dyDescent="0.3">
      <c r="A12" t="s">
        <v>5</v>
      </c>
      <c r="B12">
        <v>5.0186000000000002</v>
      </c>
      <c r="C12">
        <v>5.0537999999999998</v>
      </c>
      <c r="D12" t="s">
        <v>5</v>
      </c>
      <c r="E12">
        <v>4.9215999999999998</v>
      </c>
      <c r="F12">
        <v>5.1795</v>
      </c>
      <c r="R12" s="9"/>
      <c r="S12" s="1" t="s">
        <v>0</v>
      </c>
      <c r="T12" s="6" t="s">
        <v>1</v>
      </c>
      <c r="U12" s="9"/>
      <c r="V12" s="1" t="s">
        <v>0</v>
      </c>
      <c r="W12" s="6" t="s">
        <v>1</v>
      </c>
    </row>
    <row r="13" spans="1:23" x14ac:dyDescent="0.3">
      <c r="A13" t="s">
        <v>7</v>
      </c>
      <c r="B13">
        <v>76.052999999999997</v>
      </c>
      <c r="C13">
        <v>3.5880999999999998</v>
      </c>
      <c r="D13" t="s">
        <v>7</v>
      </c>
      <c r="E13">
        <v>90.019000000000005</v>
      </c>
      <c r="F13">
        <v>9.8577999999999992</v>
      </c>
      <c r="R13" s="10" t="s">
        <v>4</v>
      </c>
      <c r="S13" s="5">
        <v>8.4908999999999999</v>
      </c>
      <c r="T13" s="14">
        <v>8.4967000000000006</v>
      </c>
      <c r="U13" s="10" t="s">
        <v>4</v>
      </c>
      <c r="V13" s="5">
        <v>8.6324000000000005</v>
      </c>
      <c r="W13" s="14">
        <v>7.9139999999999997</v>
      </c>
    </row>
    <row r="14" spans="1:23" x14ac:dyDescent="0.3">
      <c r="A14" t="s">
        <v>8</v>
      </c>
      <c r="B14">
        <v>106.78</v>
      </c>
      <c r="C14">
        <v>5.0537999999999998</v>
      </c>
      <c r="D14" t="s">
        <v>8</v>
      </c>
      <c r="E14">
        <v>105.346</v>
      </c>
      <c r="F14">
        <v>5.2099000000000002</v>
      </c>
      <c r="R14" s="10" t="s">
        <v>5</v>
      </c>
      <c r="S14" s="5">
        <v>5.1448</v>
      </c>
      <c r="T14" s="14">
        <v>5.2484000000000002</v>
      </c>
      <c r="U14" s="10" t="s">
        <v>5</v>
      </c>
      <c r="V14" s="5">
        <v>4.9215999999999998</v>
      </c>
      <c r="W14" s="14">
        <v>5.1795</v>
      </c>
    </row>
    <row r="15" spans="1:23" x14ac:dyDescent="0.3">
      <c r="R15" s="10" t="s">
        <v>7</v>
      </c>
      <c r="S15" s="5">
        <v>110.285</v>
      </c>
      <c r="T15" s="14">
        <v>10.3528</v>
      </c>
      <c r="U15" s="10" t="s">
        <v>7</v>
      </c>
      <c r="V15" s="5">
        <v>90.019000000000005</v>
      </c>
      <c r="W15" s="14">
        <v>9.8577999999999992</v>
      </c>
    </row>
    <row r="16" spans="1:23" x14ac:dyDescent="0.3">
      <c r="A16" s="15" t="s">
        <v>17</v>
      </c>
      <c r="B16" s="15"/>
      <c r="C16" s="15"/>
      <c r="D16" s="15"/>
      <c r="E16" s="15"/>
      <c r="F16" s="15"/>
      <c r="R16" s="10" t="s">
        <v>8</v>
      </c>
      <c r="S16" s="5">
        <v>102.89700000000001</v>
      </c>
      <c r="T16" s="14">
        <v>5.4086999999999996</v>
      </c>
      <c r="U16" s="10" t="s">
        <v>8</v>
      </c>
      <c r="V16" s="5">
        <v>105.346</v>
      </c>
      <c r="W16" s="14">
        <v>5.2099000000000002</v>
      </c>
    </row>
    <row r="17" spans="1:24" x14ac:dyDescent="0.3">
      <c r="A17" s="15" t="s">
        <v>12</v>
      </c>
      <c r="B17" s="15"/>
      <c r="C17" s="15"/>
      <c r="D17" s="15" t="s">
        <v>13</v>
      </c>
      <c r="E17" s="15"/>
      <c r="F17" s="15"/>
      <c r="R17" s="10" t="s">
        <v>23</v>
      </c>
      <c r="S17" s="5">
        <v>0.936419</v>
      </c>
      <c r="T17" s="14">
        <v>8.7965000000000002E-2</v>
      </c>
      <c r="U17" s="10" t="s">
        <v>23</v>
      </c>
      <c r="V17" s="5">
        <v>0.77707999999999999</v>
      </c>
      <c r="W17" s="14">
        <v>7.8015000000000001E-2</v>
      </c>
    </row>
    <row r="18" spans="1:24" x14ac:dyDescent="0.3">
      <c r="B18" s="1" t="s">
        <v>0</v>
      </c>
      <c r="C18" s="1" t="s">
        <v>1</v>
      </c>
      <c r="E18" s="1" t="s">
        <v>0</v>
      </c>
      <c r="F18" s="1" t="s">
        <v>1</v>
      </c>
      <c r="R18" s="10" t="s">
        <v>24</v>
      </c>
      <c r="S18" s="5">
        <v>0.52938399999999997</v>
      </c>
      <c r="T18" s="14">
        <v>2.8386999999999999E-2</v>
      </c>
      <c r="U18" s="10" t="s">
        <v>24</v>
      </c>
      <c r="V18" s="5">
        <v>0.51847100000000002</v>
      </c>
      <c r="W18" s="14">
        <v>2.6984999999999999E-2</v>
      </c>
    </row>
    <row r="19" spans="1:24" x14ac:dyDescent="0.3">
      <c r="A19" t="s">
        <v>22</v>
      </c>
      <c r="B19">
        <v>-20.186</v>
      </c>
      <c r="C19">
        <v>-20.186</v>
      </c>
      <c r="D19" t="s">
        <v>22</v>
      </c>
      <c r="E19">
        <v>-20.186</v>
      </c>
      <c r="F19">
        <v>-20.186</v>
      </c>
      <c r="R19" s="10" t="s">
        <v>25</v>
      </c>
      <c r="S19" s="25">
        <v>0.56530000000000002</v>
      </c>
      <c r="T19" s="26">
        <v>0.32269999999999999</v>
      </c>
      <c r="U19" s="23" t="s">
        <v>25</v>
      </c>
      <c r="V19" s="25">
        <v>0.66720000000000002</v>
      </c>
      <c r="W19" s="25">
        <v>0.34589999999999999</v>
      </c>
      <c r="X19" s="9"/>
    </row>
    <row r="20" spans="1:24" ht="15" thickBot="1" x14ac:dyDescent="0.35">
      <c r="A20" t="s">
        <v>18</v>
      </c>
      <c r="B20">
        <v>4.4275000000000002</v>
      </c>
      <c r="C20">
        <v>4.4275000000000002</v>
      </c>
      <c r="D20" t="s">
        <v>18</v>
      </c>
      <c r="E20">
        <v>4.4275000000000002</v>
      </c>
      <c r="F20">
        <v>4.4275000000000002</v>
      </c>
      <c r="R20" s="11" t="s">
        <v>26</v>
      </c>
      <c r="S20" s="24">
        <v>27.2</v>
      </c>
      <c r="T20" s="27">
        <v>21.6</v>
      </c>
      <c r="U20" s="24" t="s">
        <v>26</v>
      </c>
      <c r="V20" s="27">
        <v>824</v>
      </c>
      <c r="W20" s="27">
        <v>84.8</v>
      </c>
    </row>
    <row r="21" spans="1:24" x14ac:dyDescent="0.3">
      <c r="A21" t="s">
        <v>19</v>
      </c>
      <c r="B21">
        <v>9.0518999999999998</v>
      </c>
      <c r="C21">
        <v>9.0518999999999998</v>
      </c>
      <c r="D21" t="s">
        <v>19</v>
      </c>
      <c r="E21">
        <v>9.0518999999999998</v>
      </c>
      <c r="F21">
        <v>9.0518999999999998</v>
      </c>
    </row>
    <row r="22" spans="1:24" x14ac:dyDescent="0.3">
      <c r="A22" t="s">
        <v>20</v>
      </c>
      <c r="B22">
        <v>7.6952999999999996</v>
      </c>
      <c r="C22">
        <v>8.7616999999999994</v>
      </c>
      <c r="D22" t="s">
        <v>20</v>
      </c>
      <c r="E22">
        <v>8.0076000000000001</v>
      </c>
      <c r="F22">
        <v>8.9136000000000006</v>
      </c>
    </row>
    <row r="23" spans="1:24" x14ac:dyDescent="0.3">
      <c r="A23" t="s">
        <v>21</v>
      </c>
      <c r="B23">
        <v>5.0027999999999997</v>
      </c>
      <c r="C23">
        <v>5.0027999999999997</v>
      </c>
      <c r="D23" t="s">
        <v>21</v>
      </c>
      <c r="E23">
        <v>5.0174000000000003</v>
      </c>
      <c r="F23">
        <v>5.0537999999999998</v>
      </c>
    </row>
    <row r="27" spans="1:24" x14ac:dyDescent="0.3">
      <c r="A27" s="21" t="s">
        <v>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24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24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24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24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24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12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</sheetData>
  <mergeCells count="16">
    <mergeCell ref="R2:T2"/>
    <mergeCell ref="U2:W2"/>
    <mergeCell ref="R11:T11"/>
    <mergeCell ref="U11:W11"/>
    <mergeCell ref="A27:L40"/>
    <mergeCell ref="A16:F16"/>
    <mergeCell ref="A17:C17"/>
    <mergeCell ref="D17:F17"/>
    <mergeCell ref="A1:F1"/>
    <mergeCell ref="D2:F2"/>
    <mergeCell ref="D9:F9"/>
    <mergeCell ref="L1:N1"/>
    <mergeCell ref="H1:J1"/>
    <mergeCell ref="H6:J6"/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Baesler, Evan J.</dc:creator>
  <cp:lastModifiedBy>Baesler, Evan J.</cp:lastModifiedBy>
  <dcterms:created xsi:type="dcterms:W3CDTF">2026-09-10T20:50:02Z</dcterms:created>
  <dcterms:modified xsi:type="dcterms:W3CDTF">2026-09-14T00:03:46Z</dcterms:modified>
</cp:coreProperties>
</file>